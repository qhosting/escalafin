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RESTAMOSSJR\"/>
    </mc:Choice>
  </mc:AlternateContent>
  <xr:revisionPtr revIDLastSave="0" documentId="13_ncr:1_{1D776F7F-45E2-49BE-AB1F-6A1DC8DB8B8D}" xr6:coauthVersionLast="47" xr6:coauthVersionMax="47" xr10:uidLastSave="{00000000-0000-0000-0000-000000000000}"/>
  <bookViews>
    <workbookView xWindow="-120" yWindow="-120" windowWidth="20730" windowHeight="11160" xr2:uid="{324EC68D-BF36-4BCE-90F0-7A0D1F8E17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28" i="1"/>
  <c r="F10" i="1"/>
  <c r="F5" i="1"/>
  <c r="X5" i="1" s="1"/>
  <c r="F6" i="1"/>
  <c r="F7" i="1"/>
  <c r="F8" i="1"/>
  <c r="F9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9" i="1"/>
  <c r="F31" i="1"/>
  <c r="F32" i="1"/>
  <c r="X32" i="1" s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W31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X71" i="1" s="1"/>
  <c r="W72" i="1"/>
  <c r="W73" i="1"/>
  <c r="X73" i="1" s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F4" i="1"/>
  <c r="W4" i="1"/>
  <c r="X4" i="1" s="1"/>
  <c r="X72" i="1" l="1"/>
</calcChain>
</file>

<file path=xl/sharedStrings.xml><?xml version="1.0" encoding="utf-8"?>
<sst xmlns="http://schemas.openxmlformats.org/spreadsheetml/2006/main" count="82" uniqueCount="81">
  <si>
    <t>NOMBRE DEL CLIENTE</t>
  </si>
  <si>
    <t xml:space="preserve">REPORTE DE CARTERA CREDITOS SAN JUAN </t>
  </si>
  <si>
    <t>PAGOS SEMANALES</t>
  </si>
  <si>
    <t>DESEMBOLSO</t>
  </si>
  <si>
    <t>PAGADO</t>
  </si>
  <si>
    <t>TOTAL CREDITO</t>
  </si>
  <si>
    <t>PAGO</t>
  </si>
  <si>
    <t>PLAZO</t>
  </si>
  <si>
    <t>PRESTAMO</t>
  </si>
  <si>
    <t>ISRAEL JORDAN TREJO MONDRAGON</t>
  </si>
  <si>
    <t>edgar javier coyotl corral</t>
  </si>
  <si>
    <t>juan martin coyotl corral</t>
  </si>
  <si>
    <t xml:space="preserve"> jorge alberto garcia gonzales </t>
  </si>
  <si>
    <t>federico david juarez castillo</t>
  </si>
  <si>
    <t>ilse jaqueline perez gudiño</t>
  </si>
  <si>
    <t>jair villeda martinez</t>
  </si>
  <si>
    <t>diego andres coyotl sanchez</t>
  </si>
  <si>
    <t>juan jesus morales mejia</t>
  </si>
  <si>
    <t xml:space="preserve"> sergio valente domingues silva</t>
  </si>
  <si>
    <t xml:space="preserve">victor manuel leonardo alonso </t>
  </si>
  <si>
    <t>rodrigo issac monroy alamillo</t>
  </si>
  <si>
    <t>felipe baños anguiano</t>
  </si>
  <si>
    <t>david eduardo coyotl sanchez</t>
  </si>
  <si>
    <t>gerardo enrique arteaga martinez</t>
  </si>
  <si>
    <t>agustin vazquez</t>
  </si>
  <si>
    <t>daniel cardenaz nuñez</t>
  </si>
  <si>
    <t>nora hilda alamallo tienda</t>
  </si>
  <si>
    <t xml:space="preserve">manuelhernandez bautista </t>
  </si>
  <si>
    <t xml:space="preserve">rene leandro cabrera </t>
  </si>
  <si>
    <t xml:space="preserve">adriana mejia cervantes </t>
  </si>
  <si>
    <t>alejandro leonardo alonzo</t>
  </si>
  <si>
    <t>mauricio fabian olvera</t>
  </si>
  <si>
    <t>gyana saray reynoso alvarado</t>
  </si>
  <si>
    <t>maria ydalia alonso gaspar</t>
  </si>
  <si>
    <t xml:space="preserve">gerardo cervantes cervantes </t>
  </si>
  <si>
    <t>jessica valladares zuñiga</t>
  </si>
  <si>
    <t xml:space="preserve">maria sandy garcia lopez </t>
  </si>
  <si>
    <t xml:space="preserve">jacqueline zarraga garcia </t>
  </si>
  <si>
    <t xml:space="preserve">pablo antonio trejo mondragon </t>
  </si>
  <si>
    <t>mariela huerfano ramirez</t>
  </si>
  <si>
    <t>marcelo garcia hernandez</t>
  </si>
  <si>
    <t xml:space="preserve">jose silva </t>
  </si>
  <si>
    <t>sergio monroy jaramillo</t>
  </si>
  <si>
    <t>joaquina gomez gonzalez</t>
  </si>
  <si>
    <t xml:space="preserve">itzel janeth garcia lopez </t>
  </si>
  <si>
    <t xml:space="preserve">adriana daniela gomez gonzales </t>
  </si>
  <si>
    <t xml:space="preserve">liliana uribe trejo </t>
  </si>
  <si>
    <t xml:space="preserve">maribel gonzales martines </t>
  </si>
  <si>
    <t xml:space="preserve">tania nataliuribe de la torre </t>
  </si>
  <si>
    <t xml:space="preserve">paola ramirez gomez </t>
  </si>
  <si>
    <t xml:space="preserve">guadalupe trejo nieto </t>
  </si>
  <si>
    <t>silvia hernandez arteaga</t>
  </si>
  <si>
    <t xml:space="preserve">teresa paz morales </t>
  </si>
  <si>
    <t xml:space="preserve">azucena pichardo paz </t>
  </si>
  <si>
    <t xml:space="preserve">carolina reyes lino </t>
  </si>
  <si>
    <t xml:space="preserve">maribel hernandez arteaga </t>
  </si>
  <si>
    <t xml:space="preserve">angelica reyes hernandez </t>
  </si>
  <si>
    <t>antonia reyes hernandez</t>
  </si>
  <si>
    <t xml:space="preserve">juan david zarraga barcenas </t>
  </si>
  <si>
    <t>yesenia zaragoza alonso</t>
  </si>
  <si>
    <t>consuelo ramirez paz</t>
  </si>
  <si>
    <t>celene sanchez cruz</t>
  </si>
  <si>
    <t>jorge gonzales martinez</t>
  </si>
  <si>
    <t xml:space="preserve">andrea ramirez </t>
  </si>
  <si>
    <t>juan hector</t>
  </si>
  <si>
    <t>emeralda garcia lopez</t>
  </si>
  <si>
    <t xml:space="preserve">ma concepcion mondragon angeles </t>
  </si>
  <si>
    <t>ma socorro martinez hernandez</t>
  </si>
  <si>
    <t xml:space="preserve">ian fernando coyotl sanchez </t>
  </si>
  <si>
    <t xml:space="preserve">jorge daniel reyes hernandez </t>
  </si>
  <si>
    <t xml:space="preserve">martha gonzales rosales </t>
  </si>
  <si>
    <t xml:space="preserve">guadalupe martinez pedrasa </t>
  </si>
  <si>
    <t>america nerfertiti fabiola medina cuellar</t>
  </si>
  <si>
    <t>blanca ibeet ballestero moreno</t>
  </si>
  <si>
    <t>06//05/2025</t>
  </si>
  <si>
    <t xml:space="preserve"> judith ponce limon</t>
  </si>
  <si>
    <t>jesus antonio gomez cruz</t>
  </si>
  <si>
    <t>º</t>
  </si>
  <si>
    <t xml:space="preserve">angelica angeles vazquez </t>
  </si>
  <si>
    <t>jose alfredo gonzales avila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</si>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</sst>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6" borderId="0" xfId="0" applyFill="1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0" xfId="0" applyFont="1"/>
    <xf numFmtId="0" fontId="2" fillId="3" borderId="1" xfId="0" applyFon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" fontId="2" fillId="2" borderId="2" xfId="0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83CC6-957D-4056-A7A9-B4345C7A46A8}">
  <dimension ref="A1:AC76"/>
  <sheetViews>
    <sheetView tabSelected="1" zoomScale="85" zoomScaleNormal="85" workbookViewId="0">
      <selection activeCell="K3" sqref="K3"/>
    </sheetView>
  </sheetViews>
  <sheetFormatPr baseColWidth="10" defaultRowHeight="15" x14ac:dyDescent="0.25"/>
  <cols>
    <col min="1" max="1" width="38.28515625" style="1" customWidth="1"/>
    <col min="2" max="2" width="11.42578125" style="8" customWidth="1"/>
    <col min="3" max="3" width="13.85546875" style="1" customWidth="1"/>
    <col min="4" max="4" width="10.85546875" style="1" customWidth="1"/>
    <col min="5" max="5" width="6.85546875" style="1" customWidth="1"/>
    <col min="6" max="6" width="10.28515625" style="1" customWidth="1"/>
    <col min="7" max="7" width="9.85546875" style="1" customWidth="1"/>
    <col min="8" max="8" width="10.140625" style="1" customWidth="1"/>
    <col min="9" max="9" width="11.42578125" style="1" customWidth="1"/>
    <col min="10" max="10" width="10.140625" style="1" customWidth="1"/>
    <col min="11" max="12" width="9.28515625" style="1" customWidth="1"/>
    <col min="13" max="13" width="10.42578125" style="1" customWidth="1"/>
    <col min="14" max="14" width="9.28515625" style="1" customWidth="1"/>
    <col min="15" max="15" width="9.42578125" style="1" customWidth="1"/>
    <col min="16" max="16" width="9.5703125" style="1" customWidth="1"/>
    <col min="17" max="17" width="9.42578125" style="1" customWidth="1"/>
    <col min="18" max="18" width="9.85546875" style="1" customWidth="1"/>
    <col min="19" max="22" width="8.28515625" style="1" customWidth="1"/>
    <col min="23" max="23" width="11.85546875" style="1" customWidth="1"/>
    <col min="24" max="24" width="11.28515625" style="1" customWidth="1"/>
    <col min="25" max="16384" width="11.42578125" style="1"/>
  </cols>
  <sheetData>
    <row r="1" spans="1:29" s="7" customFormat="1" ht="21" x14ac:dyDescent="0.35">
      <c r="A1" s="14" t="s">
        <v>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Z1" s="13"/>
      <c r="AA1" s="13"/>
      <c r="AB1" s="13"/>
      <c r="AC1" s="13"/>
    </row>
    <row r="2" spans="1:29" ht="15.75" x14ac:dyDescent="0.25">
      <c r="A2" s="22" t="s">
        <v>0</v>
      </c>
      <c r="B2" s="24" t="s">
        <v>8</v>
      </c>
      <c r="C2" s="22" t="s">
        <v>3</v>
      </c>
      <c r="D2" s="22" t="s">
        <v>6</v>
      </c>
      <c r="E2" s="22" t="s">
        <v>7</v>
      </c>
      <c r="F2" s="26" t="s">
        <v>5</v>
      </c>
      <c r="G2" s="15" t="s">
        <v>2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7"/>
      <c r="W2" s="18" t="s">
        <v>4</v>
      </c>
      <c r="X2" s="20" t="s">
        <v>80</v>
      </c>
      <c r="Z2" s="13"/>
      <c r="AA2" s="13"/>
      <c r="AB2" s="13"/>
      <c r="AC2" s="13"/>
    </row>
    <row r="3" spans="1:29" ht="15.75" x14ac:dyDescent="0.25">
      <c r="A3" s="23"/>
      <c r="B3" s="25"/>
      <c r="C3" s="23"/>
      <c r="D3" s="23"/>
      <c r="E3" s="23"/>
      <c r="F3" s="27"/>
      <c r="G3" s="10">
        <v>1</v>
      </c>
      <c r="H3" s="10">
        <v>2</v>
      </c>
      <c r="I3" s="10">
        <v>3</v>
      </c>
      <c r="J3" s="10">
        <v>4</v>
      </c>
      <c r="K3" s="10">
        <v>5</v>
      </c>
      <c r="L3" s="10">
        <v>6</v>
      </c>
      <c r="M3" s="10">
        <v>7</v>
      </c>
      <c r="N3" s="10">
        <v>8</v>
      </c>
      <c r="O3" s="10">
        <v>9</v>
      </c>
      <c r="P3" s="10">
        <v>10</v>
      </c>
      <c r="Q3" s="10">
        <v>11</v>
      </c>
      <c r="R3" s="10">
        <v>12</v>
      </c>
      <c r="S3" s="10">
        <v>13</v>
      </c>
      <c r="T3" s="10">
        <v>14</v>
      </c>
      <c r="U3" s="10">
        <v>15</v>
      </c>
      <c r="V3" s="10">
        <v>16</v>
      </c>
      <c r="W3" s="19"/>
      <c r="X3" s="21"/>
    </row>
    <row r="4" spans="1:29" x14ac:dyDescent="0.25">
      <c r="A4" s="2" t="s">
        <v>9</v>
      </c>
      <c r="B4" s="3">
        <v>3000</v>
      </c>
      <c r="C4" s="4">
        <v>45726</v>
      </c>
      <c r="D4" s="3">
        <v>300</v>
      </c>
      <c r="E4" s="2">
        <v>16</v>
      </c>
      <c r="F4" s="3">
        <f>D4*E4</f>
        <v>4800</v>
      </c>
      <c r="G4" s="3">
        <v>300</v>
      </c>
      <c r="H4" s="3">
        <v>300</v>
      </c>
      <c r="I4" s="3">
        <v>300</v>
      </c>
      <c r="J4" s="3">
        <v>300</v>
      </c>
      <c r="K4" s="3">
        <v>300</v>
      </c>
      <c r="L4" s="3">
        <v>300</v>
      </c>
      <c r="M4" s="3">
        <v>300</v>
      </c>
      <c r="N4" s="3">
        <v>300</v>
      </c>
      <c r="O4" s="3">
        <v>300</v>
      </c>
      <c r="P4" s="3"/>
      <c r="Q4" s="3"/>
      <c r="R4" s="3"/>
      <c r="S4" s="3"/>
      <c r="T4" s="3"/>
      <c r="U4" s="3"/>
      <c r="V4" s="3">
        <v>300</v>
      </c>
      <c r="W4" s="5">
        <f>SUM(G4:V4)</f>
        <v>3000</v>
      </c>
      <c r="X4" s="6">
        <f>F4-W4</f>
        <v>1800</v>
      </c>
    </row>
    <row r="5" spans="1:29" x14ac:dyDescent="0.25">
      <c r="A5" s="2" t="s">
        <v>10</v>
      </c>
      <c r="B5" s="3">
        <v>3000</v>
      </c>
      <c r="C5" s="4">
        <v>45746</v>
      </c>
      <c r="D5" s="3">
        <v>300</v>
      </c>
      <c r="E5" s="2">
        <v>16</v>
      </c>
      <c r="F5" s="3">
        <f t="shared" ref="F5:F68" si="0">D5*E5</f>
        <v>4800</v>
      </c>
      <c r="G5" s="3">
        <v>300</v>
      </c>
      <c r="H5" s="3">
        <v>300</v>
      </c>
      <c r="I5" s="3">
        <v>300</v>
      </c>
      <c r="J5" s="3">
        <v>300</v>
      </c>
      <c r="K5" s="3">
        <v>300</v>
      </c>
      <c r="L5" s="3">
        <v>300</v>
      </c>
      <c r="M5" s="3"/>
      <c r="N5" s="3"/>
      <c r="O5" s="3"/>
      <c r="P5" s="3"/>
      <c r="Q5" s="3"/>
      <c r="R5" s="3"/>
      <c r="S5" s="3"/>
      <c r="T5" s="3"/>
      <c r="U5" s="3"/>
      <c r="V5" s="3">
        <v>300</v>
      </c>
      <c r="W5" s="5">
        <f t="shared" ref="W5:W68" si="1">SUM(G5:V5)</f>
        <v>2100</v>
      </c>
      <c r="X5" s="6">
        <f t="shared" ref="X5:X68" si="2">F5-W5</f>
        <v>2700</v>
      </c>
    </row>
    <row r="6" spans="1:29" x14ac:dyDescent="0.25">
      <c r="A6" s="2" t="s">
        <v>11</v>
      </c>
      <c r="B6" s="3">
        <v>3000</v>
      </c>
      <c r="C6" s="4">
        <v>45746</v>
      </c>
      <c r="D6" s="3">
        <v>300</v>
      </c>
      <c r="E6" s="2">
        <v>16</v>
      </c>
      <c r="F6" s="3">
        <f t="shared" si="0"/>
        <v>4800</v>
      </c>
      <c r="G6" s="3">
        <v>300</v>
      </c>
      <c r="H6" s="3">
        <v>300</v>
      </c>
      <c r="I6" s="3">
        <v>300</v>
      </c>
      <c r="J6" s="3">
        <v>300</v>
      </c>
      <c r="K6" s="3">
        <v>300</v>
      </c>
      <c r="L6" s="3">
        <v>300</v>
      </c>
      <c r="M6" s="3"/>
      <c r="N6" s="3"/>
      <c r="O6" s="3"/>
      <c r="P6" s="3"/>
      <c r="Q6" s="3"/>
      <c r="R6" s="3"/>
      <c r="S6" s="3"/>
      <c r="T6" s="3"/>
      <c r="U6" s="3"/>
      <c r="V6" s="3">
        <v>300</v>
      </c>
      <c r="W6" s="5">
        <f t="shared" si="1"/>
        <v>2100</v>
      </c>
      <c r="X6" s="6">
        <f t="shared" si="2"/>
        <v>2700</v>
      </c>
    </row>
    <row r="7" spans="1:29" x14ac:dyDescent="0.25">
      <c r="A7" s="2" t="s">
        <v>12</v>
      </c>
      <c r="B7" s="3">
        <v>3000</v>
      </c>
      <c r="C7" s="4">
        <v>45747</v>
      </c>
      <c r="D7" s="3">
        <v>300</v>
      </c>
      <c r="E7" s="2">
        <v>16</v>
      </c>
      <c r="F7" s="3">
        <f t="shared" si="0"/>
        <v>4800</v>
      </c>
      <c r="G7" s="3">
        <v>300</v>
      </c>
      <c r="H7" s="3">
        <v>300</v>
      </c>
      <c r="I7" s="3">
        <v>300</v>
      </c>
      <c r="J7" s="3">
        <v>300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>
        <v>300</v>
      </c>
      <c r="W7" s="5">
        <f t="shared" si="1"/>
        <v>1500</v>
      </c>
      <c r="X7" s="6">
        <f t="shared" si="2"/>
        <v>3300</v>
      </c>
    </row>
    <row r="8" spans="1:29" x14ac:dyDescent="0.25">
      <c r="A8" s="2" t="s">
        <v>13</v>
      </c>
      <c r="B8" s="3">
        <v>3000</v>
      </c>
      <c r="C8" s="4">
        <v>45747</v>
      </c>
      <c r="D8" s="3">
        <v>300</v>
      </c>
      <c r="E8" s="2">
        <v>16</v>
      </c>
      <c r="F8" s="3">
        <f t="shared" si="0"/>
        <v>4800</v>
      </c>
      <c r="G8" s="3">
        <v>300</v>
      </c>
      <c r="H8" s="3">
        <v>300</v>
      </c>
      <c r="I8" s="3">
        <v>300</v>
      </c>
      <c r="J8" s="3">
        <v>300</v>
      </c>
      <c r="K8" s="3">
        <v>300</v>
      </c>
      <c r="L8" s="3">
        <v>300</v>
      </c>
      <c r="M8" s="3"/>
      <c r="N8" s="3"/>
      <c r="O8" s="3"/>
      <c r="P8" s="3"/>
      <c r="Q8" s="3"/>
      <c r="R8" s="3"/>
      <c r="S8" s="3"/>
      <c r="T8" s="3"/>
      <c r="U8" s="3"/>
      <c r="V8" s="3"/>
      <c r="W8" s="5">
        <f t="shared" si="1"/>
        <v>1800</v>
      </c>
      <c r="X8" s="6">
        <f t="shared" si="2"/>
        <v>3000</v>
      </c>
    </row>
    <row r="9" spans="1:29" x14ac:dyDescent="0.25">
      <c r="A9" s="2" t="s">
        <v>14</v>
      </c>
      <c r="B9" s="3">
        <v>3000</v>
      </c>
      <c r="C9" s="4">
        <v>45747</v>
      </c>
      <c r="D9" s="3">
        <v>300</v>
      </c>
      <c r="E9" s="2">
        <v>16</v>
      </c>
      <c r="F9" s="3">
        <f t="shared" si="0"/>
        <v>4800</v>
      </c>
      <c r="G9" s="3">
        <v>300</v>
      </c>
      <c r="H9" s="3">
        <v>300</v>
      </c>
      <c r="I9" s="3">
        <v>300</v>
      </c>
      <c r="J9" s="3">
        <v>300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5">
        <f t="shared" si="1"/>
        <v>1200</v>
      </c>
      <c r="X9" s="6">
        <f t="shared" si="2"/>
        <v>3600</v>
      </c>
    </row>
    <row r="10" spans="1:29" x14ac:dyDescent="0.25">
      <c r="A10" s="2" t="s">
        <v>15</v>
      </c>
      <c r="B10" s="3">
        <v>7000</v>
      </c>
      <c r="C10" s="4">
        <v>45721</v>
      </c>
      <c r="D10" s="3">
        <v>840</v>
      </c>
      <c r="E10" s="2">
        <v>16</v>
      </c>
      <c r="F10" s="3">
        <f t="shared" si="0"/>
        <v>13440</v>
      </c>
      <c r="G10" s="3">
        <v>840</v>
      </c>
      <c r="H10" s="3">
        <v>840</v>
      </c>
      <c r="I10" s="3">
        <v>840</v>
      </c>
      <c r="J10" s="3">
        <v>840</v>
      </c>
      <c r="K10" s="3">
        <v>840</v>
      </c>
      <c r="L10" s="3">
        <v>840</v>
      </c>
      <c r="M10" s="3">
        <v>840</v>
      </c>
      <c r="N10" s="3">
        <v>840</v>
      </c>
      <c r="O10" s="3">
        <v>840</v>
      </c>
      <c r="P10" s="3">
        <v>840</v>
      </c>
      <c r="Q10" s="3"/>
      <c r="R10" s="3"/>
      <c r="S10" s="3"/>
      <c r="T10" s="3"/>
      <c r="U10" s="3"/>
      <c r="V10" s="3"/>
      <c r="W10" s="5">
        <f t="shared" si="1"/>
        <v>8400</v>
      </c>
      <c r="X10" s="6">
        <f t="shared" si="2"/>
        <v>5040</v>
      </c>
    </row>
    <row r="11" spans="1:29" x14ac:dyDescent="0.25">
      <c r="A11" s="2" t="s">
        <v>16</v>
      </c>
      <c r="B11" s="3">
        <v>3000</v>
      </c>
      <c r="C11" s="4">
        <v>45718</v>
      </c>
      <c r="D11" s="3">
        <v>300</v>
      </c>
      <c r="E11" s="2">
        <v>16</v>
      </c>
      <c r="F11" s="3">
        <f t="shared" si="0"/>
        <v>4800</v>
      </c>
      <c r="G11" s="3">
        <v>300</v>
      </c>
      <c r="H11" s="3">
        <v>300</v>
      </c>
      <c r="I11" s="3">
        <v>300</v>
      </c>
      <c r="J11" s="3">
        <v>300</v>
      </c>
      <c r="K11" s="3">
        <v>300</v>
      </c>
      <c r="L11" s="3">
        <v>300</v>
      </c>
      <c r="M11" s="3">
        <v>300</v>
      </c>
      <c r="N11" s="3">
        <v>300</v>
      </c>
      <c r="O11" s="3">
        <v>300</v>
      </c>
      <c r="P11" s="3">
        <v>300</v>
      </c>
      <c r="Q11" s="3"/>
      <c r="R11" s="3"/>
      <c r="S11" s="3"/>
      <c r="T11" s="3"/>
      <c r="U11" s="3"/>
      <c r="V11" s="3">
        <v>300</v>
      </c>
      <c r="W11" s="5">
        <f t="shared" si="1"/>
        <v>3300</v>
      </c>
      <c r="X11" s="6">
        <f t="shared" si="2"/>
        <v>1500</v>
      </c>
    </row>
    <row r="12" spans="1:29" x14ac:dyDescent="0.25">
      <c r="A12" s="2" t="s">
        <v>17</v>
      </c>
      <c r="B12" s="3">
        <v>20000</v>
      </c>
      <c r="C12" s="4">
        <v>45708</v>
      </c>
      <c r="D12" s="3">
        <v>2000</v>
      </c>
      <c r="E12" s="2">
        <v>16</v>
      </c>
      <c r="F12" s="3">
        <f t="shared" si="0"/>
        <v>32000</v>
      </c>
      <c r="G12" s="3">
        <v>2000</v>
      </c>
      <c r="H12" s="3">
        <v>2000</v>
      </c>
      <c r="I12" s="3">
        <v>2000</v>
      </c>
      <c r="J12" s="3">
        <v>2000</v>
      </c>
      <c r="K12" s="3">
        <v>2000</v>
      </c>
      <c r="L12" s="3">
        <v>2000</v>
      </c>
      <c r="M12" s="3">
        <v>2000</v>
      </c>
      <c r="N12" s="3">
        <v>2000</v>
      </c>
      <c r="O12" s="3">
        <v>2000</v>
      </c>
      <c r="P12" s="3">
        <v>2000</v>
      </c>
      <c r="Q12" s="3"/>
      <c r="R12" s="3"/>
      <c r="S12" s="3"/>
      <c r="T12" s="3"/>
      <c r="U12" s="3"/>
      <c r="V12" s="3"/>
      <c r="W12" s="5">
        <f t="shared" si="1"/>
        <v>20000</v>
      </c>
      <c r="X12" s="6">
        <f t="shared" si="2"/>
        <v>12000</v>
      </c>
    </row>
    <row r="13" spans="1:29" x14ac:dyDescent="0.25">
      <c r="A13" s="2" t="s">
        <v>17</v>
      </c>
      <c r="B13" s="3">
        <v>3000</v>
      </c>
      <c r="C13" s="4">
        <v>45734</v>
      </c>
      <c r="D13" s="3">
        <v>300</v>
      </c>
      <c r="E13" s="2">
        <v>16</v>
      </c>
      <c r="F13" s="3">
        <f t="shared" si="0"/>
        <v>4800</v>
      </c>
      <c r="G13" s="3">
        <v>300</v>
      </c>
      <c r="H13" s="3">
        <v>300</v>
      </c>
      <c r="I13" s="3">
        <v>300</v>
      </c>
      <c r="J13" s="3">
        <v>300</v>
      </c>
      <c r="K13" s="3">
        <v>300</v>
      </c>
      <c r="L13" s="3">
        <v>300</v>
      </c>
      <c r="M13" s="3">
        <v>300</v>
      </c>
      <c r="N13" s="3"/>
      <c r="O13" s="3"/>
      <c r="P13" s="3"/>
      <c r="Q13" s="3"/>
      <c r="R13" s="3"/>
      <c r="S13" s="3"/>
      <c r="T13" s="3"/>
      <c r="U13" s="3"/>
      <c r="V13" s="3"/>
      <c r="W13" s="5">
        <f t="shared" si="1"/>
        <v>2100</v>
      </c>
      <c r="X13" s="6">
        <f t="shared" si="2"/>
        <v>2700</v>
      </c>
    </row>
    <row r="14" spans="1:29" x14ac:dyDescent="0.25">
      <c r="A14" s="2" t="s">
        <v>18</v>
      </c>
      <c r="B14" s="3">
        <v>5000</v>
      </c>
      <c r="C14" s="4">
        <v>45740</v>
      </c>
      <c r="D14" s="3">
        <v>600</v>
      </c>
      <c r="E14" s="2">
        <v>16</v>
      </c>
      <c r="F14" s="3">
        <f t="shared" si="0"/>
        <v>9600</v>
      </c>
      <c r="G14" s="3">
        <v>600</v>
      </c>
      <c r="H14" s="3">
        <v>600</v>
      </c>
      <c r="I14" s="3">
        <v>600</v>
      </c>
      <c r="J14" s="3">
        <v>600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5">
        <f t="shared" si="1"/>
        <v>2400</v>
      </c>
      <c r="X14" s="6">
        <f t="shared" si="2"/>
        <v>7200</v>
      </c>
    </row>
    <row r="15" spans="1:29" x14ac:dyDescent="0.25">
      <c r="A15" s="2" t="s">
        <v>19</v>
      </c>
      <c r="B15" s="3">
        <v>12000</v>
      </c>
      <c r="C15" s="4">
        <v>45738</v>
      </c>
      <c r="D15" s="3">
        <v>1440</v>
      </c>
      <c r="E15" s="2">
        <v>16</v>
      </c>
      <c r="F15" s="3">
        <f t="shared" si="0"/>
        <v>23040</v>
      </c>
      <c r="G15" s="3">
        <v>1440</v>
      </c>
      <c r="H15" s="3">
        <v>1440</v>
      </c>
      <c r="I15" s="3">
        <v>1440</v>
      </c>
      <c r="J15" s="3">
        <v>1440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5">
        <f t="shared" si="1"/>
        <v>5760</v>
      </c>
      <c r="X15" s="6">
        <f t="shared" si="2"/>
        <v>17280</v>
      </c>
    </row>
    <row r="16" spans="1:29" x14ac:dyDescent="0.25">
      <c r="A16" s="2" t="s">
        <v>20</v>
      </c>
      <c r="B16" s="3">
        <v>20000</v>
      </c>
      <c r="C16" s="4">
        <v>45732</v>
      </c>
      <c r="D16" s="3">
        <v>2000</v>
      </c>
      <c r="E16" s="2">
        <v>16</v>
      </c>
      <c r="F16" s="3">
        <f t="shared" si="0"/>
        <v>32000</v>
      </c>
      <c r="G16" s="3">
        <v>2000</v>
      </c>
      <c r="H16" s="3">
        <v>2000</v>
      </c>
      <c r="I16" s="3">
        <v>2000</v>
      </c>
      <c r="J16" s="3">
        <v>2000</v>
      </c>
      <c r="K16" s="3">
        <v>2000</v>
      </c>
      <c r="L16" s="3">
        <v>2000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5">
        <f t="shared" si="1"/>
        <v>12000</v>
      </c>
      <c r="X16" s="6">
        <f t="shared" si="2"/>
        <v>20000</v>
      </c>
    </row>
    <row r="17" spans="1:24" x14ac:dyDescent="0.25">
      <c r="A17" s="2" t="s">
        <v>21</v>
      </c>
      <c r="B17" s="3">
        <v>4000</v>
      </c>
      <c r="C17" s="4">
        <v>45718</v>
      </c>
      <c r="D17" s="3">
        <v>425</v>
      </c>
      <c r="E17" s="2">
        <v>16</v>
      </c>
      <c r="F17" s="3">
        <f t="shared" si="0"/>
        <v>6800</v>
      </c>
      <c r="G17" s="3">
        <v>425</v>
      </c>
      <c r="H17" s="3">
        <v>425</v>
      </c>
      <c r="I17" s="3">
        <v>425</v>
      </c>
      <c r="J17" s="3">
        <v>425</v>
      </c>
      <c r="K17" s="3">
        <v>425</v>
      </c>
      <c r="L17" s="3">
        <v>425</v>
      </c>
      <c r="M17" s="3">
        <v>425</v>
      </c>
      <c r="N17" s="3"/>
      <c r="O17" s="3"/>
      <c r="P17" s="3"/>
      <c r="Q17" s="3"/>
      <c r="R17" s="3"/>
      <c r="S17" s="3"/>
      <c r="T17" s="3"/>
      <c r="U17" s="3"/>
      <c r="V17" s="3"/>
      <c r="W17" s="5">
        <f t="shared" si="1"/>
        <v>2975</v>
      </c>
      <c r="X17" s="6">
        <f t="shared" si="2"/>
        <v>3825</v>
      </c>
    </row>
    <row r="18" spans="1:24" x14ac:dyDescent="0.25">
      <c r="A18" s="2" t="s">
        <v>22</v>
      </c>
      <c r="B18" s="3">
        <v>3000</v>
      </c>
      <c r="C18" s="4">
        <v>45711</v>
      </c>
      <c r="D18" s="3">
        <v>300</v>
      </c>
      <c r="E18" s="2">
        <v>16</v>
      </c>
      <c r="F18" s="3">
        <f t="shared" si="0"/>
        <v>4800</v>
      </c>
      <c r="G18" s="3">
        <v>300</v>
      </c>
      <c r="H18" s="3">
        <v>300</v>
      </c>
      <c r="I18" s="3">
        <v>300</v>
      </c>
      <c r="J18" s="3">
        <v>300</v>
      </c>
      <c r="K18" s="3">
        <v>300</v>
      </c>
      <c r="L18" s="3">
        <v>300</v>
      </c>
      <c r="M18" s="3">
        <v>300</v>
      </c>
      <c r="N18" s="3">
        <v>300</v>
      </c>
      <c r="O18" s="3">
        <v>300</v>
      </c>
      <c r="P18" s="3">
        <v>300</v>
      </c>
      <c r="Q18" s="3">
        <v>300</v>
      </c>
      <c r="R18" s="3"/>
      <c r="S18" s="3"/>
      <c r="T18" s="3"/>
      <c r="U18" s="3"/>
      <c r="V18" s="3"/>
      <c r="W18" s="5">
        <f t="shared" si="1"/>
        <v>3300</v>
      </c>
      <c r="X18" s="6">
        <f t="shared" si="2"/>
        <v>1500</v>
      </c>
    </row>
    <row r="19" spans="1:24" x14ac:dyDescent="0.25">
      <c r="A19" s="2" t="s">
        <v>23</v>
      </c>
      <c r="B19" s="3">
        <v>6000</v>
      </c>
      <c r="C19" s="4">
        <v>45707</v>
      </c>
      <c r="D19" s="3">
        <v>720</v>
      </c>
      <c r="E19" s="2">
        <v>16</v>
      </c>
      <c r="F19" s="3">
        <f t="shared" si="0"/>
        <v>11520</v>
      </c>
      <c r="G19" s="3">
        <v>720</v>
      </c>
      <c r="H19" s="3">
        <v>720</v>
      </c>
      <c r="I19" s="3">
        <v>720</v>
      </c>
      <c r="J19" s="3">
        <v>720</v>
      </c>
      <c r="K19" s="3">
        <v>720</v>
      </c>
      <c r="L19" s="3">
        <v>720</v>
      </c>
      <c r="M19" s="3">
        <v>720</v>
      </c>
      <c r="N19" s="3">
        <v>720</v>
      </c>
      <c r="O19" s="3">
        <v>720</v>
      </c>
      <c r="P19" s="3">
        <v>720</v>
      </c>
      <c r="Q19" s="3">
        <v>720</v>
      </c>
      <c r="R19" s="3">
        <v>720</v>
      </c>
      <c r="S19" s="3"/>
      <c r="T19" s="3"/>
      <c r="U19" s="3"/>
      <c r="V19" s="3"/>
      <c r="W19" s="5">
        <f t="shared" si="1"/>
        <v>8640</v>
      </c>
      <c r="X19" s="6">
        <f t="shared" si="2"/>
        <v>2880</v>
      </c>
    </row>
    <row r="20" spans="1:24" x14ac:dyDescent="0.25">
      <c r="A20" s="2" t="s">
        <v>24</v>
      </c>
      <c r="B20" s="3">
        <v>3000</v>
      </c>
      <c r="C20" s="4">
        <v>45784</v>
      </c>
      <c r="D20" s="3">
        <v>300</v>
      </c>
      <c r="E20" s="2">
        <v>16</v>
      </c>
      <c r="F20" s="3">
        <f t="shared" si="0"/>
        <v>4800</v>
      </c>
      <c r="G20" s="3">
        <v>300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5">
        <f t="shared" si="1"/>
        <v>300</v>
      </c>
      <c r="X20" s="6">
        <f t="shared" si="2"/>
        <v>4500</v>
      </c>
    </row>
    <row r="21" spans="1:24" x14ac:dyDescent="0.25">
      <c r="A21" s="2" t="s">
        <v>25</v>
      </c>
      <c r="B21" s="3">
        <v>3000</v>
      </c>
      <c r="C21" s="11">
        <v>45699</v>
      </c>
      <c r="D21" s="3">
        <v>300</v>
      </c>
      <c r="E21" s="2">
        <v>16</v>
      </c>
      <c r="F21" s="3">
        <f t="shared" si="0"/>
        <v>4800</v>
      </c>
      <c r="G21" s="3">
        <v>300</v>
      </c>
      <c r="H21" s="3">
        <v>300</v>
      </c>
      <c r="I21" s="3">
        <v>300</v>
      </c>
      <c r="J21" s="3">
        <v>300</v>
      </c>
      <c r="K21" s="3">
        <v>300</v>
      </c>
      <c r="L21" s="3">
        <v>300</v>
      </c>
      <c r="M21" s="3">
        <v>300</v>
      </c>
      <c r="N21" s="3">
        <v>300</v>
      </c>
      <c r="O21" s="3">
        <v>300</v>
      </c>
      <c r="P21" s="3">
        <v>300</v>
      </c>
      <c r="Q21" s="3">
        <v>300</v>
      </c>
      <c r="R21" s="3">
        <v>300</v>
      </c>
      <c r="S21" s="3"/>
      <c r="T21" s="3"/>
      <c r="U21" s="3"/>
      <c r="V21" s="3"/>
      <c r="W21" s="5">
        <f t="shared" si="1"/>
        <v>3600</v>
      </c>
      <c r="X21" s="6">
        <f t="shared" si="2"/>
        <v>1200</v>
      </c>
    </row>
    <row r="22" spans="1:24" x14ac:dyDescent="0.25">
      <c r="A22" s="2" t="s">
        <v>26</v>
      </c>
      <c r="B22" s="3">
        <v>10000</v>
      </c>
      <c r="C22" s="4">
        <v>45697</v>
      </c>
      <c r="D22" s="3">
        <v>1200</v>
      </c>
      <c r="E22" s="2">
        <v>16</v>
      </c>
      <c r="F22" s="3">
        <f t="shared" si="0"/>
        <v>19200</v>
      </c>
      <c r="G22" s="3">
        <v>1200</v>
      </c>
      <c r="H22" s="3">
        <v>1200</v>
      </c>
      <c r="I22" s="3">
        <v>1200</v>
      </c>
      <c r="J22" s="3">
        <v>1200</v>
      </c>
      <c r="K22" s="3">
        <v>1200</v>
      </c>
      <c r="L22" s="3">
        <v>1200</v>
      </c>
      <c r="M22" s="3">
        <v>1200</v>
      </c>
      <c r="N22" s="3">
        <v>1200</v>
      </c>
      <c r="O22" s="3">
        <v>1200</v>
      </c>
      <c r="P22" s="3">
        <v>1200</v>
      </c>
      <c r="Q22" s="3">
        <v>1200</v>
      </c>
      <c r="R22" s="3">
        <v>1200</v>
      </c>
      <c r="S22" s="3"/>
      <c r="T22" s="3"/>
      <c r="U22" s="3"/>
      <c r="V22" s="3"/>
      <c r="W22" s="5">
        <f t="shared" si="1"/>
        <v>14400</v>
      </c>
      <c r="X22" s="6">
        <f t="shared" si="2"/>
        <v>4800</v>
      </c>
    </row>
    <row r="23" spans="1:24" x14ac:dyDescent="0.25">
      <c r="A23" s="2" t="s">
        <v>27</v>
      </c>
      <c r="B23" s="3">
        <v>5000</v>
      </c>
      <c r="C23" s="4">
        <v>45785</v>
      </c>
      <c r="D23" s="3">
        <v>600</v>
      </c>
      <c r="E23" s="2">
        <v>16</v>
      </c>
      <c r="F23" s="3">
        <f t="shared" si="0"/>
        <v>9600</v>
      </c>
      <c r="G23" s="3">
        <v>600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5">
        <f t="shared" si="1"/>
        <v>600</v>
      </c>
      <c r="X23" s="6">
        <f t="shared" si="2"/>
        <v>9000</v>
      </c>
    </row>
    <row r="24" spans="1:24" x14ac:dyDescent="0.25">
      <c r="A24" s="2" t="s">
        <v>28</v>
      </c>
      <c r="B24" s="3">
        <v>3000</v>
      </c>
      <c r="C24" s="4">
        <v>45791</v>
      </c>
      <c r="D24" s="3">
        <v>300</v>
      </c>
      <c r="E24" s="2">
        <v>16</v>
      </c>
      <c r="F24" s="3">
        <f t="shared" si="0"/>
        <v>4800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5">
        <f t="shared" si="1"/>
        <v>0</v>
      </c>
      <c r="X24" s="6">
        <f t="shared" si="2"/>
        <v>4800</v>
      </c>
    </row>
    <row r="25" spans="1:24" x14ac:dyDescent="0.25">
      <c r="A25" s="2" t="s">
        <v>29</v>
      </c>
      <c r="B25" s="3">
        <v>12000</v>
      </c>
      <c r="C25" s="4">
        <v>45791</v>
      </c>
      <c r="D25" s="3">
        <v>1440</v>
      </c>
      <c r="E25" s="2">
        <v>16</v>
      </c>
      <c r="F25" s="3">
        <f t="shared" si="0"/>
        <v>23040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5">
        <f t="shared" si="1"/>
        <v>0</v>
      </c>
      <c r="X25" s="6">
        <f t="shared" si="2"/>
        <v>23040</v>
      </c>
    </row>
    <row r="26" spans="1:24" x14ac:dyDescent="0.25">
      <c r="A26" s="2" t="s">
        <v>30</v>
      </c>
      <c r="B26" s="3">
        <v>4000</v>
      </c>
      <c r="C26" s="4">
        <v>45685</v>
      </c>
      <c r="D26" s="3">
        <v>425</v>
      </c>
      <c r="E26" s="2">
        <v>16</v>
      </c>
      <c r="F26" s="3">
        <f t="shared" si="0"/>
        <v>6800</v>
      </c>
      <c r="G26" s="3">
        <v>425</v>
      </c>
      <c r="H26" s="3">
        <v>425</v>
      </c>
      <c r="I26" s="3">
        <v>425</v>
      </c>
      <c r="J26" s="3">
        <v>425</v>
      </c>
      <c r="K26" s="3">
        <v>425</v>
      </c>
      <c r="L26" s="3">
        <v>425</v>
      </c>
      <c r="M26" s="3">
        <v>425</v>
      </c>
      <c r="N26" s="3">
        <v>425</v>
      </c>
      <c r="O26" s="3">
        <v>425</v>
      </c>
      <c r="P26" s="3">
        <v>425</v>
      </c>
      <c r="Q26" s="3">
        <v>425</v>
      </c>
      <c r="R26" s="3"/>
      <c r="S26" s="3"/>
      <c r="T26" s="3"/>
      <c r="U26" s="3"/>
      <c r="V26" s="3"/>
      <c r="W26" s="5">
        <f t="shared" si="1"/>
        <v>4675</v>
      </c>
      <c r="X26" s="6">
        <f t="shared" si="2"/>
        <v>2125</v>
      </c>
    </row>
    <row r="27" spans="1:24" x14ac:dyDescent="0.25">
      <c r="A27" s="2" t="s">
        <v>31</v>
      </c>
      <c r="B27" s="3">
        <v>4000</v>
      </c>
      <c r="C27" s="4">
        <v>45753</v>
      </c>
      <c r="D27" s="3">
        <v>425</v>
      </c>
      <c r="E27" s="2">
        <v>16</v>
      </c>
      <c r="F27" s="3">
        <f t="shared" si="0"/>
        <v>6800</v>
      </c>
      <c r="G27" s="3">
        <v>425</v>
      </c>
      <c r="H27" s="3">
        <v>425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5">
        <f t="shared" si="1"/>
        <v>850</v>
      </c>
      <c r="X27" s="6">
        <f t="shared" si="2"/>
        <v>5950</v>
      </c>
    </row>
    <row r="28" spans="1:24" x14ac:dyDescent="0.25">
      <c r="A28" s="2" t="s">
        <v>32</v>
      </c>
      <c r="B28" s="3">
        <v>4000</v>
      </c>
      <c r="C28" s="4">
        <v>45767</v>
      </c>
      <c r="D28" s="3">
        <v>425</v>
      </c>
      <c r="E28" s="2">
        <v>16</v>
      </c>
      <c r="F28" s="3">
        <f t="shared" si="0"/>
        <v>6800</v>
      </c>
      <c r="G28" s="3">
        <v>425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300</v>
      </c>
      <c r="W28" s="5">
        <f t="shared" si="1"/>
        <v>725</v>
      </c>
      <c r="X28" s="6">
        <f t="shared" si="2"/>
        <v>6075</v>
      </c>
    </row>
    <row r="29" spans="1:24" x14ac:dyDescent="0.25">
      <c r="A29" s="2" t="s">
        <v>33</v>
      </c>
      <c r="B29" s="3">
        <v>5000</v>
      </c>
      <c r="C29" s="4">
        <v>45668</v>
      </c>
      <c r="D29" s="3">
        <v>600</v>
      </c>
      <c r="E29" s="2">
        <v>16</v>
      </c>
      <c r="F29" s="3">
        <f t="shared" si="0"/>
        <v>9600</v>
      </c>
      <c r="G29" s="3">
        <v>600</v>
      </c>
      <c r="H29" s="3">
        <v>600</v>
      </c>
      <c r="I29" s="3">
        <v>600</v>
      </c>
      <c r="J29" s="3">
        <v>600</v>
      </c>
      <c r="K29" s="3">
        <v>600</v>
      </c>
      <c r="L29" s="3">
        <v>600</v>
      </c>
      <c r="M29" s="3">
        <v>600</v>
      </c>
      <c r="N29" s="3">
        <v>600</v>
      </c>
      <c r="O29" s="3">
        <v>600</v>
      </c>
      <c r="P29" s="3">
        <v>600</v>
      </c>
      <c r="Q29" s="3">
        <v>600</v>
      </c>
      <c r="R29" s="3">
        <v>600</v>
      </c>
      <c r="S29" s="3"/>
      <c r="T29" s="3"/>
      <c r="U29" s="3"/>
      <c r="V29" s="3"/>
      <c r="W29" s="5">
        <f t="shared" si="1"/>
        <v>7200</v>
      </c>
      <c r="X29" s="6">
        <f t="shared" si="2"/>
        <v>2400</v>
      </c>
    </row>
    <row r="30" spans="1:24" x14ac:dyDescent="0.25">
      <c r="A30" s="2" t="s">
        <v>34</v>
      </c>
      <c r="B30" s="3">
        <v>15000</v>
      </c>
      <c r="C30" s="4">
        <v>45767</v>
      </c>
      <c r="D30" s="3">
        <v>1800</v>
      </c>
      <c r="E30" s="2">
        <v>16</v>
      </c>
      <c r="F30" s="3">
        <f t="shared" si="0"/>
        <v>28800</v>
      </c>
      <c r="G30" s="3">
        <v>1800</v>
      </c>
      <c r="H30" s="3">
        <v>1800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5">
        <f t="shared" si="1"/>
        <v>3600</v>
      </c>
      <c r="X30" s="6">
        <f t="shared" si="2"/>
        <v>25200</v>
      </c>
    </row>
    <row r="31" spans="1:24" x14ac:dyDescent="0.25">
      <c r="A31" s="2" t="s">
        <v>35</v>
      </c>
      <c r="B31" s="3">
        <v>10000</v>
      </c>
      <c r="C31" s="4">
        <v>45757</v>
      </c>
      <c r="D31" s="3">
        <v>1200</v>
      </c>
      <c r="E31" s="2">
        <v>16</v>
      </c>
      <c r="F31" s="3">
        <f t="shared" si="0"/>
        <v>19200</v>
      </c>
      <c r="G31" s="3">
        <v>1200</v>
      </c>
      <c r="H31" s="3">
        <v>1200</v>
      </c>
      <c r="I31" s="3">
        <v>1200</v>
      </c>
      <c r="J31" s="3">
        <v>1200</v>
      </c>
      <c r="K31" s="3">
        <v>1200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5">
        <f t="shared" si="1"/>
        <v>6000</v>
      </c>
      <c r="X31" s="6">
        <f t="shared" si="2"/>
        <v>13200</v>
      </c>
    </row>
    <row r="32" spans="1:24" x14ac:dyDescent="0.25">
      <c r="A32" s="2" t="s">
        <v>36</v>
      </c>
      <c r="B32" s="3">
        <v>5000</v>
      </c>
      <c r="C32" s="4">
        <v>45662</v>
      </c>
      <c r="D32" s="3">
        <v>600</v>
      </c>
      <c r="E32" s="2">
        <v>16</v>
      </c>
      <c r="F32" s="3">
        <f t="shared" si="0"/>
        <v>9600</v>
      </c>
      <c r="G32" s="3">
        <v>600</v>
      </c>
      <c r="H32" s="3">
        <v>600</v>
      </c>
      <c r="I32" s="3">
        <v>600</v>
      </c>
      <c r="J32" s="3">
        <v>600</v>
      </c>
      <c r="K32" s="3">
        <v>600</v>
      </c>
      <c r="L32" s="3">
        <v>600</v>
      </c>
      <c r="M32" s="3">
        <v>600</v>
      </c>
      <c r="N32" s="3">
        <v>600</v>
      </c>
      <c r="O32" s="3">
        <v>600</v>
      </c>
      <c r="P32" s="3">
        <v>600</v>
      </c>
      <c r="Q32" s="3">
        <v>600</v>
      </c>
      <c r="R32" s="3">
        <v>600</v>
      </c>
      <c r="S32" s="3">
        <v>600</v>
      </c>
      <c r="T32" s="3">
        <v>600</v>
      </c>
      <c r="U32" s="3">
        <v>600</v>
      </c>
      <c r="V32" s="3"/>
      <c r="W32" s="5">
        <f t="shared" si="1"/>
        <v>9000</v>
      </c>
      <c r="X32" s="6">
        <f t="shared" si="2"/>
        <v>600</v>
      </c>
    </row>
    <row r="33" spans="1:24" x14ac:dyDescent="0.25">
      <c r="A33" s="2" t="s">
        <v>38</v>
      </c>
      <c r="B33" s="3">
        <v>3000</v>
      </c>
      <c r="C33" s="4">
        <v>45760</v>
      </c>
      <c r="D33" s="3">
        <v>300</v>
      </c>
      <c r="E33" s="2">
        <v>16</v>
      </c>
      <c r="F33" s="3">
        <f t="shared" si="0"/>
        <v>4800</v>
      </c>
      <c r="G33" s="3">
        <v>300</v>
      </c>
      <c r="H33" s="3">
        <v>300</v>
      </c>
      <c r="I33" s="3">
        <v>300</v>
      </c>
      <c r="J33" s="3">
        <v>300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5">
        <f t="shared" si="1"/>
        <v>1200</v>
      </c>
      <c r="X33" s="6">
        <f t="shared" si="2"/>
        <v>3600</v>
      </c>
    </row>
    <row r="34" spans="1:24" x14ac:dyDescent="0.25">
      <c r="A34" s="2" t="s">
        <v>39</v>
      </c>
      <c r="B34" s="3">
        <v>4000</v>
      </c>
      <c r="C34" s="4">
        <v>45748</v>
      </c>
      <c r="D34" s="3">
        <v>425</v>
      </c>
      <c r="E34" s="2">
        <v>16</v>
      </c>
      <c r="F34" s="3">
        <f t="shared" si="0"/>
        <v>6800</v>
      </c>
      <c r="G34" s="3">
        <v>425</v>
      </c>
      <c r="H34" s="3">
        <v>425</v>
      </c>
      <c r="I34" s="3">
        <v>425</v>
      </c>
      <c r="J34" s="3">
        <v>425</v>
      </c>
      <c r="K34" s="3">
        <v>425</v>
      </c>
      <c r="L34" s="3">
        <v>425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5">
        <f t="shared" si="1"/>
        <v>2550</v>
      </c>
      <c r="X34" s="6">
        <f t="shared" si="2"/>
        <v>4250</v>
      </c>
    </row>
    <row r="35" spans="1:24" x14ac:dyDescent="0.25">
      <c r="A35" s="2" t="s">
        <v>40</v>
      </c>
      <c r="B35" s="3">
        <v>4000</v>
      </c>
      <c r="C35" s="4">
        <v>45763</v>
      </c>
      <c r="D35" s="3">
        <v>425</v>
      </c>
      <c r="E35" s="2">
        <v>16</v>
      </c>
      <c r="F35" s="3">
        <f t="shared" si="0"/>
        <v>6800</v>
      </c>
      <c r="G35" s="3">
        <v>425</v>
      </c>
      <c r="H35" s="3">
        <v>425</v>
      </c>
      <c r="I35" s="3">
        <v>425</v>
      </c>
      <c r="J35" s="3">
        <v>425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5">
        <f t="shared" si="1"/>
        <v>1700</v>
      </c>
      <c r="X35" s="6">
        <f t="shared" si="2"/>
        <v>5100</v>
      </c>
    </row>
    <row r="36" spans="1:24" x14ac:dyDescent="0.25">
      <c r="A36" s="2" t="s">
        <v>41</v>
      </c>
      <c r="B36" s="3">
        <v>5000</v>
      </c>
      <c r="C36" s="4">
        <v>45753</v>
      </c>
      <c r="D36" s="3">
        <v>600</v>
      </c>
      <c r="E36" s="2">
        <v>16</v>
      </c>
      <c r="F36" s="3">
        <f t="shared" si="0"/>
        <v>9600</v>
      </c>
      <c r="G36" s="3">
        <v>600</v>
      </c>
      <c r="H36" s="3">
        <v>600</v>
      </c>
      <c r="I36" s="3">
        <v>600</v>
      </c>
      <c r="J36" s="3">
        <v>600</v>
      </c>
      <c r="K36" s="3">
        <v>600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5">
        <f t="shared" si="1"/>
        <v>3000</v>
      </c>
      <c r="X36" s="6">
        <f t="shared" si="2"/>
        <v>6600</v>
      </c>
    </row>
    <row r="37" spans="1:24" x14ac:dyDescent="0.25">
      <c r="A37" s="2" t="s">
        <v>42</v>
      </c>
      <c r="B37" s="3">
        <v>15000</v>
      </c>
      <c r="C37" s="4">
        <v>45647</v>
      </c>
      <c r="D37" s="3">
        <v>1800</v>
      </c>
      <c r="E37" s="2">
        <v>16</v>
      </c>
      <c r="F37" s="3">
        <f t="shared" si="0"/>
        <v>28800</v>
      </c>
      <c r="G37" s="3">
        <v>1800</v>
      </c>
      <c r="H37" s="3">
        <v>1800</v>
      </c>
      <c r="I37" s="3">
        <v>1800</v>
      </c>
      <c r="J37" s="3">
        <v>1800</v>
      </c>
      <c r="K37" s="3">
        <v>1800</v>
      </c>
      <c r="L37" s="3">
        <v>1800</v>
      </c>
      <c r="M37" s="3"/>
      <c r="N37" s="3">
        <v>900</v>
      </c>
      <c r="O37" s="3"/>
      <c r="P37" s="3"/>
      <c r="Q37" s="3"/>
      <c r="R37" s="3"/>
      <c r="S37" s="3"/>
      <c r="T37" s="3"/>
      <c r="U37" s="3"/>
      <c r="V37" s="3"/>
      <c r="W37" s="5">
        <f t="shared" si="1"/>
        <v>11700</v>
      </c>
      <c r="X37" s="6">
        <f t="shared" si="2"/>
        <v>17100</v>
      </c>
    </row>
    <row r="38" spans="1:24" x14ac:dyDescent="0.25">
      <c r="A38" s="2" t="s">
        <v>43</v>
      </c>
      <c r="B38" s="3">
        <v>5000</v>
      </c>
      <c r="C38" s="4">
        <v>45728</v>
      </c>
      <c r="D38" s="3">
        <v>600</v>
      </c>
      <c r="E38" s="2">
        <v>16</v>
      </c>
      <c r="F38" s="3">
        <f t="shared" si="0"/>
        <v>9600</v>
      </c>
      <c r="G38" s="3">
        <v>600</v>
      </c>
      <c r="H38" s="3">
        <v>600</v>
      </c>
      <c r="I38" s="3">
        <v>600</v>
      </c>
      <c r="J38" s="3">
        <v>600</v>
      </c>
      <c r="K38" s="3">
        <v>600</v>
      </c>
      <c r="L38" s="3">
        <v>600</v>
      </c>
      <c r="M38" s="3">
        <v>600</v>
      </c>
      <c r="N38" s="3">
        <v>600</v>
      </c>
      <c r="O38" s="3">
        <v>600</v>
      </c>
      <c r="P38" s="3"/>
      <c r="Q38" s="3"/>
      <c r="R38" s="3"/>
      <c r="S38" s="3"/>
      <c r="T38" s="3"/>
      <c r="U38" s="3"/>
      <c r="V38" s="3"/>
      <c r="W38" s="5">
        <f t="shared" si="1"/>
        <v>5400</v>
      </c>
      <c r="X38" s="6">
        <f t="shared" si="2"/>
        <v>4200</v>
      </c>
    </row>
    <row r="39" spans="1:24" x14ac:dyDescent="0.25">
      <c r="A39" s="2" t="s">
        <v>44</v>
      </c>
      <c r="B39" s="3">
        <v>4000</v>
      </c>
      <c r="C39" s="4">
        <v>45721</v>
      </c>
      <c r="D39" s="3">
        <v>425</v>
      </c>
      <c r="E39" s="2">
        <v>16</v>
      </c>
      <c r="F39" s="3">
        <f t="shared" si="0"/>
        <v>6800</v>
      </c>
      <c r="G39" s="3">
        <v>425</v>
      </c>
      <c r="H39" s="3">
        <v>425</v>
      </c>
      <c r="I39" s="3">
        <v>425</v>
      </c>
      <c r="J39" s="3">
        <v>425</v>
      </c>
      <c r="K39" s="3">
        <v>425</v>
      </c>
      <c r="L39" s="3">
        <v>425</v>
      </c>
      <c r="M39" s="3">
        <v>425</v>
      </c>
      <c r="N39" s="3">
        <v>425</v>
      </c>
      <c r="O39" s="3">
        <v>425</v>
      </c>
      <c r="P39" s="3"/>
      <c r="Q39" s="3"/>
      <c r="R39" s="3"/>
      <c r="S39" s="3"/>
      <c r="T39" s="3"/>
      <c r="U39" s="3"/>
      <c r="V39" s="3"/>
      <c r="W39" s="5">
        <f t="shared" si="1"/>
        <v>3825</v>
      </c>
      <c r="X39" s="6">
        <f t="shared" si="2"/>
        <v>2975</v>
      </c>
    </row>
    <row r="40" spans="1:24" x14ac:dyDescent="0.25">
      <c r="A40" s="2" t="s">
        <v>45</v>
      </c>
      <c r="B40" s="3">
        <v>4000</v>
      </c>
      <c r="C40" s="4">
        <v>45720</v>
      </c>
      <c r="D40" s="3">
        <v>425</v>
      </c>
      <c r="E40" s="2">
        <v>16</v>
      </c>
      <c r="F40" s="3">
        <f t="shared" si="0"/>
        <v>6800</v>
      </c>
      <c r="G40" s="3">
        <v>425</v>
      </c>
      <c r="H40" s="3">
        <v>425</v>
      </c>
      <c r="I40" s="3">
        <v>425</v>
      </c>
      <c r="J40" s="3">
        <v>425</v>
      </c>
      <c r="K40" s="3">
        <v>425</v>
      </c>
      <c r="L40" s="3">
        <v>425</v>
      </c>
      <c r="M40" s="3">
        <v>425</v>
      </c>
      <c r="N40" s="3">
        <v>425</v>
      </c>
      <c r="O40" s="3">
        <v>425</v>
      </c>
      <c r="P40" s="3"/>
      <c r="Q40" s="3"/>
      <c r="R40" s="3"/>
      <c r="S40" s="3"/>
      <c r="T40" s="3"/>
      <c r="U40" s="3"/>
      <c r="V40" s="3"/>
      <c r="W40" s="5">
        <f t="shared" si="1"/>
        <v>3825</v>
      </c>
      <c r="X40" s="6">
        <f t="shared" si="2"/>
        <v>2975</v>
      </c>
    </row>
    <row r="41" spans="1:24" x14ac:dyDescent="0.25">
      <c r="A41" s="2" t="s">
        <v>46</v>
      </c>
      <c r="B41" s="3">
        <v>4000</v>
      </c>
      <c r="C41" s="4">
        <v>45718</v>
      </c>
      <c r="D41" s="3">
        <v>425</v>
      </c>
      <c r="E41" s="2">
        <v>16</v>
      </c>
      <c r="F41" s="3">
        <f t="shared" si="0"/>
        <v>6800</v>
      </c>
      <c r="G41" s="3">
        <v>425</v>
      </c>
      <c r="H41" s="3">
        <v>425</v>
      </c>
      <c r="I41" s="3">
        <v>425</v>
      </c>
      <c r="J41" s="3">
        <v>425</v>
      </c>
      <c r="K41" s="3">
        <v>425</v>
      </c>
      <c r="L41" s="3">
        <v>425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5">
        <f t="shared" si="1"/>
        <v>2550</v>
      </c>
      <c r="X41" s="6">
        <f t="shared" si="2"/>
        <v>4250</v>
      </c>
    </row>
    <row r="42" spans="1:24" x14ac:dyDescent="0.25">
      <c r="A42" s="2" t="s">
        <v>47</v>
      </c>
      <c r="B42" s="3">
        <v>4000</v>
      </c>
      <c r="C42" s="4">
        <v>45715</v>
      </c>
      <c r="D42" s="3">
        <v>425</v>
      </c>
      <c r="E42" s="2">
        <v>16</v>
      </c>
      <c r="F42" s="3">
        <f t="shared" si="0"/>
        <v>6800</v>
      </c>
      <c r="G42" s="3">
        <v>425</v>
      </c>
      <c r="H42" s="3">
        <v>425</v>
      </c>
      <c r="I42" s="3">
        <v>425</v>
      </c>
      <c r="J42" s="3">
        <v>425</v>
      </c>
      <c r="K42" s="3">
        <v>425</v>
      </c>
      <c r="L42" s="3">
        <v>300</v>
      </c>
      <c r="M42" s="3">
        <v>300</v>
      </c>
      <c r="N42" s="3"/>
      <c r="O42" s="3"/>
      <c r="P42" s="3"/>
      <c r="Q42" s="3"/>
      <c r="R42" s="3"/>
      <c r="S42" s="3"/>
      <c r="T42" s="3"/>
      <c r="U42" s="3"/>
      <c r="V42" s="3"/>
      <c r="W42" s="5">
        <f t="shared" si="1"/>
        <v>2725</v>
      </c>
      <c r="X42" s="6">
        <f t="shared" si="2"/>
        <v>4075</v>
      </c>
    </row>
    <row r="43" spans="1:24" x14ac:dyDescent="0.25">
      <c r="A43" s="2" t="s">
        <v>48</v>
      </c>
      <c r="B43" s="3">
        <v>4000</v>
      </c>
      <c r="C43" s="4">
        <v>45712</v>
      </c>
      <c r="D43" s="3">
        <v>425</v>
      </c>
      <c r="E43" s="2">
        <v>16</v>
      </c>
      <c r="F43" s="3">
        <f t="shared" si="0"/>
        <v>6800</v>
      </c>
      <c r="G43" s="3">
        <v>425</v>
      </c>
      <c r="H43" s="3">
        <v>425</v>
      </c>
      <c r="I43" s="3">
        <v>425</v>
      </c>
      <c r="J43" s="3">
        <v>425</v>
      </c>
      <c r="K43" s="3">
        <v>425</v>
      </c>
      <c r="L43" s="3">
        <v>425</v>
      </c>
      <c r="M43" s="3">
        <v>425</v>
      </c>
      <c r="N43" s="3">
        <v>425</v>
      </c>
      <c r="O43" s="3">
        <v>425</v>
      </c>
      <c r="P43" s="3"/>
      <c r="Q43" s="3"/>
      <c r="R43" s="3"/>
      <c r="S43" s="3"/>
      <c r="T43" s="3"/>
      <c r="U43" s="3"/>
      <c r="V43" s="3"/>
      <c r="W43" s="5">
        <f t="shared" si="1"/>
        <v>3825</v>
      </c>
      <c r="X43" s="6">
        <f t="shared" si="2"/>
        <v>2975</v>
      </c>
    </row>
    <row r="44" spans="1:24" x14ac:dyDescent="0.25">
      <c r="A44" s="2" t="s">
        <v>49</v>
      </c>
      <c r="B44" s="3">
        <v>3500</v>
      </c>
      <c r="C44" s="4">
        <v>45704</v>
      </c>
      <c r="D44" s="3">
        <v>360</v>
      </c>
      <c r="E44" s="2">
        <v>16</v>
      </c>
      <c r="F44" s="3">
        <f t="shared" si="0"/>
        <v>5760</v>
      </c>
      <c r="G44" s="3">
        <v>360</v>
      </c>
      <c r="H44" s="3">
        <v>360</v>
      </c>
      <c r="I44" s="3">
        <v>360</v>
      </c>
      <c r="J44" s="3">
        <v>360</v>
      </c>
      <c r="K44" s="3">
        <v>360</v>
      </c>
      <c r="L44" s="3">
        <v>360</v>
      </c>
      <c r="M44" s="3">
        <v>360</v>
      </c>
      <c r="N44" s="3">
        <v>360</v>
      </c>
      <c r="O44" s="3">
        <v>360</v>
      </c>
      <c r="P44" s="3">
        <v>360</v>
      </c>
      <c r="Q44" s="3">
        <v>360</v>
      </c>
      <c r="R44" s="3">
        <v>360</v>
      </c>
      <c r="S44" s="3"/>
      <c r="T44" s="3"/>
      <c r="U44" s="3"/>
      <c r="V44" s="3"/>
      <c r="W44" s="5">
        <f t="shared" si="1"/>
        <v>4320</v>
      </c>
      <c r="X44" s="6">
        <f t="shared" si="2"/>
        <v>1440</v>
      </c>
    </row>
    <row r="45" spans="1:24" x14ac:dyDescent="0.25">
      <c r="A45" s="2" t="s">
        <v>50</v>
      </c>
      <c r="B45" s="3">
        <v>3000</v>
      </c>
      <c r="C45" s="4">
        <v>45704</v>
      </c>
      <c r="D45" s="3">
        <v>300</v>
      </c>
      <c r="E45" s="2">
        <v>16</v>
      </c>
      <c r="F45" s="3">
        <f t="shared" si="0"/>
        <v>4800</v>
      </c>
      <c r="G45" s="3">
        <v>300</v>
      </c>
      <c r="H45" s="3">
        <v>300</v>
      </c>
      <c r="I45" s="3">
        <v>300</v>
      </c>
      <c r="J45" s="3">
        <v>300</v>
      </c>
      <c r="K45" s="3">
        <v>300</v>
      </c>
      <c r="L45" s="3">
        <v>300</v>
      </c>
      <c r="M45" s="3">
        <v>300</v>
      </c>
      <c r="N45" s="3">
        <v>300</v>
      </c>
      <c r="O45" s="3">
        <v>300</v>
      </c>
      <c r="P45" s="3"/>
      <c r="Q45" s="3"/>
      <c r="R45" s="3"/>
      <c r="S45" s="3"/>
      <c r="T45" s="3"/>
      <c r="U45" s="3"/>
      <c r="V45" s="3"/>
      <c r="W45" s="5">
        <f t="shared" si="1"/>
        <v>2700</v>
      </c>
      <c r="X45" s="6">
        <f t="shared" si="2"/>
        <v>2100</v>
      </c>
    </row>
    <row r="46" spans="1:24" x14ac:dyDescent="0.25">
      <c r="A46" s="2" t="s">
        <v>51</v>
      </c>
      <c r="B46" s="3">
        <v>3000</v>
      </c>
      <c r="C46" s="4">
        <v>45693</v>
      </c>
      <c r="D46" s="3">
        <v>300</v>
      </c>
      <c r="E46" s="2">
        <v>16</v>
      </c>
      <c r="F46" s="3">
        <f t="shared" si="0"/>
        <v>4800</v>
      </c>
      <c r="G46" s="3">
        <v>300</v>
      </c>
      <c r="H46" s="3">
        <v>300</v>
      </c>
      <c r="I46" s="3">
        <v>300</v>
      </c>
      <c r="J46" s="3">
        <v>300</v>
      </c>
      <c r="K46" s="3">
        <v>300</v>
      </c>
      <c r="L46" s="3">
        <v>300</v>
      </c>
      <c r="M46" s="3">
        <v>300</v>
      </c>
      <c r="N46" s="3"/>
      <c r="O46" s="3"/>
      <c r="P46" s="3"/>
      <c r="Q46" s="3"/>
      <c r="R46" s="3"/>
      <c r="S46" s="3"/>
      <c r="T46" s="3"/>
      <c r="U46" s="3"/>
      <c r="V46" s="3">
        <v>300</v>
      </c>
      <c r="W46" s="5">
        <f t="shared" si="1"/>
        <v>2400</v>
      </c>
      <c r="X46" s="6">
        <f t="shared" si="2"/>
        <v>2400</v>
      </c>
    </row>
    <row r="47" spans="1:24" x14ac:dyDescent="0.25">
      <c r="A47" s="2" t="s">
        <v>37</v>
      </c>
      <c r="B47" s="3">
        <v>3500</v>
      </c>
      <c r="C47" s="4">
        <v>45783</v>
      </c>
      <c r="D47" s="3">
        <v>360</v>
      </c>
      <c r="E47" s="2">
        <v>16</v>
      </c>
      <c r="F47" s="3">
        <f t="shared" si="0"/>
        <v>5760</v>
      </c>
      <c r="G47" s="3">
        <v>360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5">
        <f t="shared" si="1"/>
        <v>360</v>
      </c>
      <c r="X47" s="6">
        <f t="shared" si="2"/>
        <v>5400</v>
      </c>
    </row>
    <row r="48" spans="1:24" x14ac:dyDescent="0.25">
      <c r="A48" s="2" t="s">
        <v>52</v>
      </c>
      <c r="B48" s="3">
        <v>3000</v>
      </c>
      <c r="C48" s="4">
        <v>45687</v>
      </c>
      <c r="D48" s="3">
        <v>300</v>
      </c>
      <c r="E48" s="2">
        <v>16</v>
      </c>
      <c r="F48" s="3">
        <f t="shared" si="0"/>
        <v>4800</v>
      </c>
      <c r="G48" s="3">
        <v>300</v>
      </c>
      <c r="H48" s="3">
        <v>300</v>
      </c>
      <c r="I48" s="3">
        <v>300</v>
      </c>
      <c r="J48" s="3">
        <v>300</v>
      </c>
      <c r="K48" s="3">
        <v>300</v>
      </c>
      <c r="L48" s="3">
        <v>300</v>
      </c>
      <c r="M48" s="3">
        <v>300</v>
      </c>
      <c r="N48" s="3">
        <v>300</v>
      </c>
      <c r="O48" s="3">
        <v>300</v>
      </c>
      <c r="P48" s="3">
        <v>300</v>
      </c>
      <c r="Q48" s="3">
        <v>300</v>
      </c>
      <c r="R48" s="3">
        <v>300</v>
      </c>
      <c r="S48" s="3">
        <v>300</v>
      </c>
      <c r="T48" s="3">
        <v>300</v>
      </c>
      <c r="U48" s="3">
        <v>300</v>
      </c>
      <c r="V48" s="3">
        <v>300</v>
      </c>
      <c r="W48" s="5">
        <f t="shared" si="1"/>
        <v>4800</v>
      </c>
      <c r="X48" s="6">
        <f t="shared" si="2"/>
        <v>0</v>
      </c>
    </row>
    <row r="49" spans="1:24" x14ac:dyDescent="0.25">
      <c r="A49" s="2" t="s">
        <v>53</v>
      </c>
      <c r="B49" s="3">
        <v>4000</v>
      </c>
      <c r="C49" s="4">
        <v>45687</v>
      </c>
      <c r="D49" s="3">
        <v>425</v>
      </c>
      <c r="E49" s="2">
        <v>16</v>
      </c>
      <c r="F49" s="3">
        <f t="shared" si="0"/>
        <v>6800</v>
      </c>
      <c r="G49" s="3">
        <v>425</v>
      </c>
      <c r="H49" s="3">
        <v>425</v>
      </c>
      <c r="I49" s="3">
        <v>425</v>
      </c>
      <c r="J49" s="3">
        <v>425</v>
      </c>
      <c r="K49" s="3">
        <v>425</v>
      </c>
      <c r="L49" s="3">
        <v>425</v>
      </c>
      <c r="M49" s="3">
        <v>425</v>
      </c>
      <c r="N49" s="3">
        <v>425</v>
      </c>
      <c r="O49" s="3">
        <v>425</v>
      </c>
      <c r="P49" s="3">
        <v>425</v>
      </c>
      <c r="Q49" s="3">
        <v>1500</v>
      </c>
      <c r="R49" s="3"/>
      <c r="S49" s="3"/>
      <c r="T49" s="3"/>
      <c r="U49" s="3"/>
      <c r="V49" s="3"/>
      <c r="W49" s="5">
        <f t="shared" si="1"/>
        <v>5750</v>
      </c>
      <c r="X49" s="6">
        <f t="shared" si="2"/>
        <v>1050</v>
      </c>
    </row>
    <row r="50" spans="1:24" x14ac:dyDescent="0.25">
      <c r="A50" s="2" t="s">
        <v>54</v>
      </c>
      <c r="B50" s="3">
        <v>5000</v>
      </c>
      <c r="C50" s="4">
        <v>45777</v>
      </c>
      <c r="D50" s="3">
        <v>600</v>
      </c>
      <c r="E50" s="2">
        <v>16</v>
      </c>
      <c r="F50" s="3">
        <f t="shared" si="0"/>
        <v>9600</v>
      </c>
      <c r="G50" s="3">
        <v>600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5">
        <f t="shared" si="1"/>
        <v>600</v>
      </c>
      <c r="X50" s="6">
        <f t="shared" si="2"/>
        <v>9000</v>
      </c>
    </row>
    <row r="51" spans="1:24" x14ac:dyDescent="0.25">
      <c r="A51" s="2" t="s">
        <v>55</v>
      </c>
      <c r="B51" s="3">
        <v>3000</v>
      </c>
      <c r="C51" s="4">
        <v>45682</v>
      </c>
      <c r="D51" s="3">
        <v>300</v>
      </c>
      <c r="E51" s="2">
        <v>16</v>
      </c>
      <c r="F51" s="3">
        <f t="shared" si="0"/>
        <v>4800</v>
      </c>
      <c r="G51" s="3">
        <v>300</v>
      </c>
      <c r="H51" s="3">
        <v>300</v>
      </c>
      <c r="I51" s="3">
        <v>300</v>
      </c>
      <c r="J51" s="3">
        <v>300</v>
      </c>
      <c r="K51" s="3">
        <v>300</v>
      </c>
      <c r="L51" s="3">
        <v>300</v>
      </c>
      <c r="M51" s="3">
        <v>300</v>
      </c>
      <c r="N51" s="3">
        <v>300</v>
      </c>
      <c r="O51" s="3"/>
      <c r="P51" s="3"/>
      <c r="Q51" s="3"/>
      <c r="R51" s="3"/>
      <c r="S51" s="3"/>
      <c r="T51" s="3"/>
      <c r="U51" s="3"/>
      <c r="V51" s="3">
        <v>300</v>
      </c>
      <c r="W51" s="5">
        <f t="shared" si="1"/>
        <v>2700</v>
      </c>
      <c r="X51" s="6">
        <f t="shared" si="2"/>
        <v>2100</v>
      </c>
    </row>
    <row r="52" spans="1:24" x14ac:dyDescent="0.25">
      <c r="A52" s="2" t="s">
        <v>56</v>
      </c>
      <c r="B52" s="3">
        <v>10000</v>
      </c>
      <c r="C52" s="4">
        <v>45774</v>
      </c>
      <c r="D52" s="3">
        <v>600</v>
      </c>
      <c r="E52" s="2">
        <v>16</v>
      </c>
      <c r="F52" s="3">
        <f t="shared" si="0"/>
        <v>9600</v>
      </c>
      <c r="G52" s="3">
        <v>1200</v>
      </c>
      <c r="H52" s="3">
        <v>1200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5">
        <f t="shared" si="1"/>
        <v>2400</v>
      </c>
      <c r="X52" s="6">
        <f t="shared" si="2"/>
        <v>7200</v>
      </c>
    </row>
    <row r="53" spans="1:24" x14ac:dyDescent="0.25">
      <c r="A53" s="2" t="s">
        <v>57</v>
      </c>
      <c r="B53" s="3">
        <v>10000</v>
      </c>
      <c r="C53" s="4">
        <v>45783</v>
      </c>
      <c r="D53" s="3">
        <v>1200</v>
      </c>
      <c r="E53" s="2">
        <v>16</v>
      </c>
      <c r="F53" s="3">
        <f t="shared" si="0"/>
        <v>19200</v>
      </c>
      <c r="G53" s="3">
        <v>1200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5">
        <f t="shared" si="1"/>
        <v>1200</v>
      </c>
      <c r="X53" s="6">
        <f t="shared" si="2"/>
        <v>18000</v>
      </c>
    </row>
    <row r="54" spans="1:24" x14ac:dyDescent="0.25">
      <c r="A54" s="2" t="s">
        <v>58</v>
      </c>
      <c r="B54" s="3">
        <v>4000</v>
      </c>
      <c r="C54" s="4">
        <v>45777</v>
      </c>
      <c r="D54" s="3">
        <v>425</v>
      </c>
      <c r="E54" s="2">
        <v>16</v>
      </c>
      <c r="F54" s="3">
        <f t="shared" si="0"/>
        <v>6800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5">
        <f t="shared" si="1"/>
        <v>0</v>
      </c>
      <c r="X54" s="6">
        <f t="shared" si="2"/>
        <v>6800</v>
      </c>
    </row>
    <row r="55" spans="1:24" x14ac:dyDescent="0.25">
      <c r="A55" s="2" t="s">
        <v>63</v>
      </c>
      <c r="B55" s="3">
        <v>6000</v>
      </c>
      <c r="C55" s="4">
        <v>45774</v>
      </c>
      <c r="D55" s="3">
        <v>600</v>
      </c>
      <c r="E55" s="2">
        <v>16</v>
      </c>
      <c r="F55" s="3">
        <f t="shared" si="0"/>
        <v>9600</v>
      </c>
      <c r="G55" s="3">
        <v>720</v>
      </c>
      <c r="H55" s="3">
        <v>720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5">
        <f t="shared" si="1"/>
        <v>1440</v>
      </c>
      <c r="X55" s="6">
        <f t="shared" si="2"/>
        <v>8160</v>
      </c>
    </row>
    <row r="56" spans="1:24" x14ac:dyDescent="0.25">
      <c r="A56" s="2" t="s">
        <v>59</v>
      </c>
      <c r="B56" s="3">
        <v>3000</v>
      </c>
      <c r="C56" s="4">
        <v>45766</v>
      </c>
      <c r="D56" s="3">
        <v>300</v>
      </c>
      <c r="E56" s="2">
        <v>16</v>
      </c>
      <c r="F56" s="3">
        <f t="shared" si="0"/>
        <v>4800</v>
      </c>
      <c r="G56" s="3">
        <v>300</v>
      </c>
      <c r="H56" s="3">
        <v>300</v>
      </c>
      <c r="I56" s="3">
        <v>300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>
        <v>300</v>
      </c>
      <c r="W56" s="5">
        <f t="shared" si="1"/>
        <v>1200</v>
      </c>
      <c r="X56" s="6">
        <f t="shared" si="2"/>
        <v>3600</v>
      </c>
    </row>
    <row r="57" spans="1:24" x14ac:dyDescent="0.25">
      <c r="A57" s="2" t="s">
        <v>60</v>
      </c>
      <c r="B57" s="3">
        <v>3000</v>
      </c>
      <c r="C57" s="4">
        <v>43931</v>
      </c>
      <c r="D57" s="3">
        <v>300</v>
      </c>
      <c r="E57" s="2">
        <v>16</v>
      </c>
      <c r="F57" s="3">
        <f t="shared" si="0"/>
        <v>4800</v>
      </c>
      <c r="G57" s="3">
        <v>300</v>
      </c>
      <c r="H57" s="3">
        <v>300</v>
      </c>
      <c r="I57" s="3">
        <v>300</v>
      </c>
      <c r="J57" s="3">
        <v>300</v>
      </c>
      <c r="K57" s="3">
        <v>300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>
        <v>300</v>
      </c>
      <c r="W57" s="5">
        <f t="shared" si="1"/>
        <v>1800</v>
      </c>
      <c r="X57" s="6">
        <f t="shared" si="2"/>
        <v>3000</v>
      </c>
    </row>
    <row r="58" spans="1:24" x14ac:dyDescent="0.25">
      <c r="A58" s="2" t="s">
        <v>61</v>
      </c>
      <c r="B58" s="3">
        <v>3000</v>
      </c>
      <c r="C58" s="4">
        <v>45755</v>
      </c>
      <c r="D58" s="3">
        <v>300</v>
      </c>
      <c r="E58" s="2">
        <v>16</v>
      </c>
      <c r="F58" s="3">
        <f t="shared" si="0"/>
        <v>4800</v>
      </c>
      <c r="G58" s="3">
        <v>300</v>
      </c>
      <c r="H58" s="3">
        <v>300</v>
      </c>
      <c r="I58" s="3">
        <v>300</v>
      </c>
      <c r="J58" s="3">
        <v>300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>
        <v>300</v>
      </c>
      <c r="W58" s="5">
        <f t="shared" si="1"/>
        <v>1500</v>
      </c>
      <c r="X58" s="6">
        <f t="shared" si="2"/>
        <v>3300</v>
      </c>
    </row>
    <row r="59" spans="1:24" x14ac:dyDescent="0.25">
      <c r="A59" s="2" t="s">
        <v>62</v>
      </c>
      <c r="B59" s="3">
        <v>4000</v>
      </c>
      <c r="C59" s="4">
        <v>45754</v>
      </c>
      <c r="D59" s="3">
        <v>425</v>
      </c>
      <c r="E59" s="2">
        <v>16</v>
      </c>
      <c r="F59" s="3">
        <f t="shared" si="0"/>
        <v>6800</v>
      </c>
      <c r="G59" s="3">
        <v>425</v>
      </c>
      <c r="H59" s="3">
        <v>425</v>
      </c>
      <c r="I59" s="3">
        <v>425</v>
      </c>
      <c r="J59" s="3">
        <v>425</v>
      </c>
      <c r="K59" s="3">
        <v>425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>
        <v>425</v>
      </c>
      <c r="W59" s="5">
        <f t="shared" si="1"/>
        <v>2550</v>
      </c>
      <c r="X59" s="6">
        <f t="shared" si="2"/>
        <v>4250</v>
      </c>
    </row>
    <row r="60" spans="1:24" x14ac:dyDescent="0.25">
      <c r="A60" s="2" t="s">
        <v>64</v>
      </c>
      <c r="B60" s="3">
        <v>4000</v>
      </c>
      <c r="C60" s="4">
        <v>45791</v>
      </c>
      <c r="D60" s="3">
        <v>425</v>
      </c>
      <c r="E60" s="2">
        <v>16</v>
      </c>
      <c r="F60" s="3">
        <f t="shared" si="0"/>
        <v>6800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5">
        <f t="shared" si="1"/>
        <v>0</v>
      </c>
      <c r="X60" s="6">
        <f t="shared" si="2"/>
        <v>6800</v>
      </c>
    </row>
    <row r="61" spans="1:24" x14ac:dyDescent="0.25">
      <c r="A61" s="2" t="s">
        <v>65</v>
      </c>
      <c r="B61" s="3">
        <v>3000</v>
      </c>
      <c r="C61" s="4">
        <v>45763</v>
      </c>
      <c r="D61" s="3">
        <v>300</v>
      </c>
      <c r="E61" s="2">
        <v>16</v>
      </c>
      <c r="F61" s="3">
        <f t="shared" si="0"/>
        <v>4800</v>
      </c>
      <c r="G61" s="3">
        <v>300</v>
      </c>
      <c r="H61" s="3">
        <v>300</v>
      </c>
      <c r="I61" s="3">
        <v>300</v>
      </c>
      <c r="J61" s="3">
        <v>300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>
        <v>300</v>
      </c>
      <c r="W61" s="5">
        <f t="shared" si="1"/>
        <v>1500</v>
      </c>
      <c r="X61" s="6">
        <f t="shared" si="2"/>
        <v>3300</v>
      </c>
    </row>
    <row r="62" spans="1:24" x14ac:dyDescent="0.25">
      <c r="A62" s="2" t="s">
        <v>66</v>
      </c>
      <c r="B62" s="3">
        <v>3000</v>
      </c>
      <c r="C62" s="4">
        <v>45763</v>
      </c>
      <c r="D62" s="3">
        <v>300</v>
      </c>
      <c r="E62" s="2">
        <v>16</v>
      </c>
      <c r="F62" s="3">
        <f t="shared" si="0"/>
        <v>4800</v>
      </c>
      <c r="G62" s="3">
        <v>300</v>
      </c>
      <c r="H62" s="3">
        <v>300</v>
      </c>
      <c r="I62" s="3">
        <v>300</v>
      </c>
      <c r="J62" s="3">
        <v>300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>
        <v>300</v>
      </c>
      <c r="W62" s="5">
        <f t="shared" si="1"/>
        <v>1500</v>
      </c>
      <c r="X62" s="6">
        <f t="shared" si="2"/>
        <v>3300</v>
      </c>
    </row>
    <row r="63" spans="1:24" x14ac:dyDescent="0.25">
      <c r="A63" s="2" t="s">
        <v>67</v>
      </c>
      <c r="B63" s="3">
        <v>4000</v>
      </c>
      <c r="C63" s="4">
        <v>45763</v>
      </c>
      <c r="D63" s="3">
        <v>425</v>
      </c>
      <c r="E63" s="2">
        <v>16</v>
      </c>
      <c r="F63" s="3">
        <f t="shared" si="0"/>
        <v>6800</v>
      </c>
      <c r="G63" s="3">
        <v>425</v>
      </c>
      <c r="H63" s="3">
        <v>425</v>
      </c>
      <c r="I63" s="3">
        <v>425</v>
      </c>
      <c r="J63" s="3">
        <v>425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>
        <v>425</v>
      </c>
      <c r="W63" s="5">
        <f t="shared" si="1"/>
        <v>2125</v>
      </c>
      <c r="X63" s="6">
        <f t="shared" si="2"/>
        <v>4675</v>
      </c>
    </row>
    <row r="64" spans="1:24" x14ac:dyDescent="0.25">
      <c r="A64" s="2" t="s">
        <v>68</v>
      </c>
      <c r="B64" s="3">
        <v>3000</v>
      </c>
      <c r="C64" s="4">
        <v>45774</v>
      </c>
      <c r="D64" s="3">
        <v>300</v>
      </c>
      <c r="E64" s="2">
        <v>16</v>
      </c>
      <c r="F64" s="3">
        <f t="shared" si="0"/>
        <v>4800</v>
      </c>
      <c r="G64" s="3">
        <v>300</v>
      </c>
      <c r="H64" s="3">
        <v>300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>
        <v>300</v>
      </c>
      <c r="W64" s="5">
        <f t="shared" si="1"/>
        <v>900</v>
      </c>
      <c r="X64" s="6">
        <f t="shared" si="2"/>
        <v>3900</v>
      </c>
    </row>
    <row r="65" spans="1:24" x14ac:dyDescent="0.25">
      <c r="A65" s="2" t="s">
        <v>69</v>
      </c>
      <c r="B65" s="3">
        <v>5000</v>
      </c>
      <c r="C65" s="2"/>
      <c r="D65" s="3">
        <v>600</v>
      </c>
      <c r="E65" s="2">
        <v>16</v>
      </c>
      <c r="F65" s="3">
        <f t="shared" si="0"/>
        <v>9600</v>
      </c>
      <c r="G65" s="3">
        <v>600</v>
      </c>
      <c r="H65" s="3">
        <v>600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5">
        <f t="shared" si="1"/>
        <v>1200</v>
      </c>
      <c r="X65" s="6">
        <f t="shared" si="2"/>
        <v>8400</v>
      </c>
    </row>
    <row r="66" spans="1:24" x14ac:dyDescent="0.25">
      <c r="A66" s="2" t="s">
        <v>70</v>
      </c>
      <c r="B66" s="3">
        <v>3000</v>
      </c>
      <c r="C66" s="4">
        <v>45783</v>
      </c>
      <c r="D66" s="3">
        <v>300</v>
      </c>
      <c r="E66" s="2">
        <v>16</v>
      </c>
      <c r="F66" s="3">
        <f t="shared" si="0"/>
        <v>4800</v>
      </c>
      <c r="G66" s="3">
        <v>300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300</v>
      </c>
      <c r="W66" s="5">
        <f t="shared" si="1"/>
        <v>600</v>
      </c>
      <c r="X66" s="6">
        <f t="shared" si="2"/>
        <v>4200</v>
      </c>
    </row>
    <row r="67" spans="1:24" x14ac:dyDescent="0.25">
      <c r="A67" s="2" t="s">
        <v>71</v>
      </c>
      <c r="B67" s="3">
        <v>3000</v>
      </c>
      <c r="C67" s="4">
        <v>45783</v>
      </c>
      <c r="D67" s="3">
        <v>300</v>
      </c>
      <c r="E67" s="2">
        <v>16</v>
      </c>
      <c r="F67" s="3">
        <f t="shared" si="0"/>
        <v>4800</v>
      </c>
      <c r="G67" s="3">
        <v>300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300</v>
      </c>
      <c r="W67" s="5">
        <f t="shared" si="1"/>
        <v>600</v>
      </c>
      <c r="X67" s="6">
        <f t="shared" si="2"/>
        <v>4200</v>
      </c>
    </row>
    <row r="68" spans="1:24" x14ac:dyDescent="0.25">
      <c r="A68" s="2" t="s">
        <v>72</v>
      </c>
      <c r="B68" s="3">
        <v>3000</v>
      </c>
      <c r="C68" s="12">
        <v>45783</v>
      </c>
      <c r="D68" s="3">
        <v>300</v>
      </c>
      <c r="E68" s="2">
        <v>16</v>
      </c>
      <c r="F68" s="3">
        <f t="shared" si="0"/>
        <v>4800</v>
      </c>
      <c r="G68" s="3">
        <v>300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300</v>
      </c>
      <c r="W68" s="5">
        <f t="shared" si="1"/>
        <v>600</v>
      </c>
      <c r="X68" s="6">
        <f t="shared" si="2"/>
        <v>4200</v>
      </c>
    </row>
    <row r="69" spans="1:24" x14ac:dyDescent="0.25">
      <c r="A69" s="2" t="s">
        <v>73</v>
      </c>
      <c r="B69" s="3">
        <v>3000</v>
      </c>
      <c r="C69" s="2" t="s">
        <v>74</v>
      </c>
      <c r="D69" s="3">
        <v>300</v>
      </c>
      <c r="E69" s="2">
        <v>16</v>
      </c>
      <c r="F69" s="3">
        <f t="shared" ref="F69:F73" si="3">D69*E69</f>
        <v>4800</v>
      </c>
      <c r="G69" s="3">
        <v>300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300</v>
      </c>
      <c r="W69" s="5">
        <f t="shared" ref="W69:W73" si="4">SUM(G69:V69)</f>
        <v>600</v>
      </c>
      <c r="X69" s="6">
        <f t="shared" ref="X69:X73" si="5">F69-W69</f>
        <v>4200</v>
      </c>
    </row>
    <row r="70" spans="1:24" x14ac:dyDescent="0.25">
      <c r="A70" s="2" t="s">
        <v>75</v>
      </c>
      <c r="B70" s="3">
        <v>3000</v>
      </c>
      <c r="C70" s="12">
        <v>45783</v>
      </c>
      <c r="D70" s="3">
        <v>300</v>
      </c>
      <c r="E70" s="2">
        <v>16</v>
      </c>
      <c r="F70" s="3">
        <f t="shared" si="3"/>
        <v>4800</v>
      </c>
      <c r="G70" s="3">
        <v>300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5">
        <f t="shared" si="4"/>
        <v>300</v>
      </c>
      <c r="X70" s="6">
        <f t="shared" si="5"/>
        <v>4500</v>
      </c>
    </row>
    <row r="71" spans="1:24" x14ac:dyDescent="0.25">
      <c r="A71" s="2" t="s">
        <v>76</v>
      </c>
      <c r="B71" s="3">
        <v>7000</v>
      </c>
      <c r="C71" s="4">
        <v>45784</v>
      </c>
      <c r="D71" s="3">
        <v>840</v>
      </c>
      <c r="E71" s="2">
        <v>16</v>
      </c>
      <c r="F71" s="3">
        <f t="shared" si="3"/>
        <v>13440</v>
      </c>
      <c r="G71" s="3">
        <v>840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5">
        <f t="shared" si="4"/>
        <v>840</v>
      </c>
      <c r="X71" s="6">
        <f t="shared" si="5"/>
        <v>12600</v>
      </c>
    </row>
    <row r="72" spans="1:24" x14ac:dyDescent="0.25">
      <c r="A72" s="2" t="s">
        <v>78</v>
      </c>
      <c r="B72" s="3">
        <v>4000</v>
      </c>
      <c r="C72" s="4">
        <v>45785</v>
      </c>
      <c r="D72" s="3">
        <v>425</v>
      </c>
      <c r="E72" s="2">
        <v>16</v>
      </c>
      <c r="F72" s="3">
        <f t="shared" si="3"/>
        <v>6800</v>
      </c>
      <c r="G72" s="3">
        <v>425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5">
        <f t="shared" si="4"/>
        <v>425</v>
      </c>
      <c r="X72" s="6">
        <f t="shared" si="5"/>
        <v>6375</v>
      </c>
    </row>
    <row r="73" spans="1:24" x14ac:dyDescent="0.25">
      <c r="A73" s="2" t="s">
        <v>79</v>
      </c>
      <c r="B73" s="3">
        <v>3000</v>
      </c>
      <c r="C73" s="4">
        <v>45791</v>
      </c>
      <c r="D73" s="3">
        <v>300</v>
      </c>
      <c r="E73" s="2">
        <v>16</v>
      </c>
      <c r="F73" s="3">
        <f t="shared" si="3"/>
        <v>4800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300</v>
      </c>
      <c r="W73" s="5">
        <f t="shared" si="4"/>
        <v>300</v>
      </c>
      <c r="X73" s="6">
        <f t="shared" si="5"/>
        <v>4500</v>
      </c>
    </row>
    <row r="75" spans="1:24" x14ac:dyDescent="0.25">
      <c r="X75" s="1" t="s">
        <v>77</v>
      </c>
    </row>
    <row r="76" spans="1:24" x14ac:dyDescent="0.25">
      <c r="A76" s="9"/>
      <c r="B76" s="9"/>
      <c r="C76" s="9"/>
      <c r="D76" s="9"/>
      <c r="E76" s="9"/>
      <c r="F76" s="9"/>
    </row>
  </sheetData>
  <mergeCells count="11">
    <mergeCell ref="Z1:AC2"/>
    <mergeCell ref="A1:X1"/>
    <mergeCell ref="G2:V2"/>
    <mergeCell ref="W2:W3"/>
    <mergeCell ref="X2:X3"/>
    <mergeCell ref="A2:A3"/>
    <mergeCell ref="B2:B3"/>
    <mergeCell ref="D2:D3"/>
    <mergeCell ref="C2:C3"/>
    <mergeCell ref="E2:E3"/>
    <mergeCell ref="F2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</dc:creator>
  <cp:lastModifiedBy>Admin</cp:lastModifiedBy>
  <dcterms:created xsi:type="dcterms:W3CDTF">2025-03-26T16:01:14Z</dcterms:created>
  <dcterms:modified xsi:type="dcterms:W3CDTF">2026-02-26T22:40:01Z</dcterms:modified>
</cp:coreProperties>
</file>